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美林最新报价格式260427" sheetId="1" r:id="rId1"/>
    <sheet name="电线规格用量数据" sheetId="2" r:id="rId2"/>
  </sheets>
  <definedNames>
    <definedName name="_xlnm.Print_Area" localSheetId="0">美林最新报价格式260427!$B$2:$O$31</definedName>
    <definedName name="_xlnm._FilterDatabase" localSheetId="0" hidden="1">美林最新报价格式260427!$B$11:$O$14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<sst xmlns="http://schemas.openxmlformats.org/spreadsheetml/2006/main" count="130" uniqueCount="122">
  <si>
    <t>广 东 美 林 电 线 电 缆 有 限 公 司</t>
  </si>
  <si>
    <t>MAINLAND ELECTRIC WIRE &amp; CABLE CO., LTD.</t>
  </si>
  <si>
    <t>广 东 省 东 莞 市 虎 门 镇 陈 村 工 业 区</t>
  </si>
  <si>
    <t xml:space="preserve">公司电话 TEL：0769-88920080         业务邮箱 EMAIL：ywk@gdmainland.com           </t>
  </si>
  <si>
    <t>报价单</t>
  </si>
  <si>
    <t>QUOTATION</t>
  </si>
  <si>
    <t>客户名称 Customer Name： 客户B</t>
  </si>
  <si>
    <r>
      <rPr>
        <sz val="10.5"/>
        <color rgb="FF000000"/>
        <rFont val="宋体"/>
        <charset val="134"/>
      </rPr>
      <t>联系人</t>
    </r>
    <r>
      <rPr>
        <sz val="10.5"/>
        <color rgb="FF000000"/>
        <rFont val="Times New Roman"/>
        <charset val="0"/>
      </rPr>
      <t xml:space="preserve"> Customer Contact</t>
    </r>
    <r>
      <rPr>
        <sz val="10.5"/>
        <color rgb="FF000000"/>
        <rFont val="宋体"/>
        <charset val="134"/>
      </rPr>
      <t xml:space="preserve">：覃小姐                     </t>
    </r>
    <r>
      <rPr>
        <sz val="10.5"/>
        <color rgb="FF000000"/>
        <rFont val="Times New Roman"/>
        <charset val="0"/>
      </rPr>
      <t xml:space="preserve">                                                      </t>
    </r>
  </si>
  <si>
    <t>项目</t>
  </si>
  <si>
    <t>名称规格</t>
  </si>
  <si>
    <t>明细</t>
  </si>
  <si>
    <t>单位</t>
  </si>
  <si>
    <t>单价</t>
  </si>
  <si>
    <t>币种</t>
  </si>
  <si>
    <t>其他</t>
  </si>
  <si>
    <t>ITEM</t>
  </si>
  <si>
    <t>DESCRITION&amp;SPECIFICATION</t>
  </si>
  <si>
    <t>插头(元/个）</t>
  </si>
  <si>
    <t>线材（元/M）</t>
  </si>
  <si>
    <t>长度（M)</t>
  </si>
  <si>
    <t>尾部</t>
  </si>
  <si>
    <t>扎线</t>
  </si>
  <si>
    <t>端子护套</t>
  </si>
  <si>
    <t>尾部连接线</t>
  </si>
  <si>
    <t>工艺卡</t>
  </si>
  <si>
    <t>UNIT</t>
  </si>
  <si>
    <t>UNITPRICE</t>
  </si>
  <si>
    <t>CURRENT</t>
  </si>
  <si>
    <t>REMARKS</t>
  </si>
  <si>
    <t>插头</t>
  </si>
  <si>
    <t>线材</t>
  </si>
  <si>
    <t>长度</t>
  </si>
  <si>
    <t>尾部处理</t>
  </si>
  <si>
    <t>物流</t>
  </si>
  <si>
    <t>铜</t>
  </si>
  <si>
    <t>胶料</t>
  </si>
  <si>
    <t>铜丝价</t>
  </si>
  <si>
    <t>胶料单价</t>
  </si>
  <si>
    <t>毛利</t>
  </si>
  <si>
    <t>电线规格</t>
  </si>
  <si>
    <t>电线单价</t>
  </si>
  <si>
    <t>日期</t>
  </si>
  <si>
    <t>备注</t>
  </si>
  <si>
    <t>ML-302(韩国头) H05RR-F 3X 0.75 尾部脱皮半剥 总长=1.12米 黑色 普通导体</t>
  </si>
  <si>
    <t>590-006</t>
  </si>
  <si>
    <t>pcs</t>
  </si>
  <si>
    <t>RMB</t>
  </si>
  <si>
    <t>H05RR-F 3*0.75</t>
  </si>
  <si>
    <t>ML-301(美式三插 附护套) HPN 18AWGX3C   尾部脱皮半剥 总长=1.75米 黑色 用纸轧带</t>
  </si>
  <si>
    <t>HPN 18/3C</t>
  </si>
  <si>
    <r>
      <rPr>
        <sz val="10"/>
        <rFont val="宋体"/>
        <charset val="134"/>
      </rPr>
      <t xml:space="preserve">1.付款方式:   </t>
    </r>
    <r>
      <rPr>
        <sz val="10"/>
        <rFont val="Wingdings 2"/>
        <charset val="2"/>
      </rPr>
      <t>£</t>
    </r>
    <r>
      <rPr>
        <sz val="10"/>
        <rFont val="宋体"/>
        <charset val="134"/>
      </rPr>
      <t>现金 ；</t>
    </r>
    <r>
      <rPr>
        <sz val="10"/>
        <rFont val="Wingdings"/>
        <charset val="2"/>
      </rPr>
      <t>þ</t>
    </r>
    <r>
      <rPr>
        <sz val="10"/>
        <rFont val="宋体"/>
        <charset val="134"/>
      </rPr>
      <t>月结</t>
    </r>
    <r>
      <rPr>
        <u/>
        <sz val="10"/>
        <rFont val="宋体"/>
        <charset val="134"/>
      </rPr>
      <t xml:space="preserve">  60  </t>
    </r>
    <r>
      <rPr>
        <sz val="10"/>
        <rFont val="宋体"/>
        <charset val="134"/>
      </rPr>
      <t>天（以电汇或</t>
    </r>
    <r>
      <rPr>
        <u/>
        <sz val="10"/>
        <rFont val="宋体"/>
        <charset val="134"/>
      </rPr>
      <t xml:space="preserve">         </t>
    </r>
    <r>
      <rPr>
        <sz val="10"/>
        <rFont val="宋体"/>
        <charset val="134"/>
      </rPr>
      <t>天的银行承兑汇票结清）；</t>
    </r>
  </si>
  <si>
    <t xml:space="preserve">2.交货期限：报价单双方确认后10-15工作天，以双方确认订单为准；                                                                         </t>
  </si>
  <si>
    <t>3.品质材质要求：产品质量无特殊备注要求以安规为准，环保符合ROHS、REACH、PAHS标准。插头铜脚为铜合金材质，没有特定指出适用于豁免条款含铅不高于40000PPM，如有特殊环保和工艺要求（如低铅、REACH等）价格另商议；</t>
  </si>
  <si>
    <t xml:space="preserve">4.客户特殊要求：以双方签认的的样板或图纸为准，包装扎带等特殊要求备注写明；          </t>
  </si>
  <si>
    <r>
      <rPr>
        <sz val="10"/>
        <rFont val="宋体"/>
        <charset val="134"/>
      </rPr>
      <t>5.增值税：报价</t>
    </r>
    <r>
      <rPr>
        <sz val="10"/>
        <rFont val="Wingdings"/>
        <charset val="2"/>
      </rPr>
      <t>þ</t>
    </r>
    <r>
      <rPr>
        <sz val="10"/>
        <rFont val="宋体"/>
        <charset val="134"/>
      </rPr>
      <t>包含 □不包含13%增值税发票款；</t>
    </r>
  </si>
  <si>
    <r>
      <rPr>
        <sz val="10"/>
        <rFont val="宋体"/>
        <charset val="134"/>
      </rPr>
      <t>6.货物交付：此报价</t>
    </r>
    <r>
      <rPr>
        <sz val="10"/>
        <rFont val="Wingdings"/>
        <charset val="2"/>
      </rPr>
      <t>þ</t>
    </r>
    <r>
      <rPr>
        <sz val="10"/>
        <rFont val="宋体"/>
        <charset val="134"/>
      </rPr>
      <t xml:space="preserve">包含 □不包含从我司至贵司运费，货物交付至贵司地址 </t>
    </r>
    <r>
      <rPr>
        <u/>
        <sz val="10"/>
        <rFont val="宋体"/>
        <charset val="134"/>
      </rPr>
      <t>广东</t>
    </r>
    <r>
      <rPr>
        <sz val="10"/>
        <rFont val="宋体"/>
        <charset val="134"/>
      </rPr>
      <t xml:space="preserve"> 省 </t>
    </r>
    <r>
      <rPr>
        <u/>
        <sz val="10"/>
        <rFont val="宋体"/>
        <charset val="134"/>
      </rPr>
      <t>中山</t>
    </r>
    <r>
      <rPr>
        <sz val="10"/>
        <rFont val="宋体"/>
        <charset val="134"/>
      </rPr>
      <t xml:space="preserve"> 市；                         </t>
    </r>
  </si>
  <si>
    <r>
      <rPr>
        <sz val="10"/>
        <rFont val="宋体"/>
        <charset val="134"/>
      </rPr>
      <t xml:space="preserve">7.报价有效期：本报价依据 </t>
    </r>
    <r>
      <rPr>
        <sz val="10"/>
        <rFont val="Wingdings"/>
        <charset val="2"/>
      </rPr>
      <t>þ</t>
    </r>
    <r>
      <rPr>
        <sz val="10"/>
        <rFont val="宋体"/>
        <charset val="134"/>
      </rPr>
      <t>铜价</t>
    </r>
    <r>
      <rPr>
        <u/>
        <sz val="10"/>
        <rFont val="宋体"/>
        <charset val="134"/>
      </rPr>
      <t xml:space="preserve">  100001-102000元/吨       </t>
    </r>
    <r>
      <rPr>
        <sz val="10"/>
        <rFont val="宋体"/>
        <charset val="134"/>
      </rPr>
      <t xml:space="preserve"> 报出，若铜价或原材料波动剧烈且本报价单未能及时签回，报价单须重新签订；</t>
    </r>
  </si>
  <si>
    <t>8.本报价单作为合同的补充协议或合同本身，与合同正文具有同等的法律效力。</t>
  </si>
  <si>
    <t xml:space="preserve">     客 户 签 复∶                                       </t>
  </si>
  <si>
    <t xml:space="preserve">报 价 人∶ 朱建云                              </t>
  </si>
  <si>
    <t xml:space="preserve">   (Your Signature)                             </t>
  </si>
  <si>
    <t xml:space="preserve">(Supplier)     </t>
  </si>
  <si>
    <t xml:space="preserve">                               年       月      日      </t>
  </si>
  <si>
    <t>核 准：</t>
  </si>
  <si>
    <t xml:space="preserve">(Approved By)     </t>
  </si>
  <si>
    <t xml:space="preserve">                 2026 年   05月 05  日      </t>
  </si>
  <si>
    <t>ML/D-YW-10C</t>
  </si>
  <si>
    <r>
      <rPr>
        <sz val="11"/>
        <color rgb="FF000000"/>
        <rFont val="Times New Roman"/>
        <charset val="0"/>
      </rPr>
      <t>1.</t>
    </r>
    <r>
      <rPr>
        <sz val="11"/>
        <color indexed="8"/>
        <rFont val="宋体"/>
        <charset val="134"/>
      </rPr>
      <t>付款方式</t>
    </r>
    <r>
      <rPr>
        <sz val="11"/>
        <color indexed="8"/>
        <rFont val="Times New Roman"/>
        <charset val="0"/>
      </rPr>
      <t>:</t>
    </r>
    <r>
      <rPr>
        <sz val="11"/>
        <color indexed="8"/>
        <rFont val="宋体"/>
        <charset val="134"/>
      </rPr>
      <t>月结</t>
    </r>
    <r>
      <rPr>
        <sz val="11"/>
        <color indexed="8"/>
        <rFont val="Times New Roman"/>
        <charset val="0"/>
      </rPr>
      <t>60</t>
    </r>
    <r>
      <rPr>
        <sz val="11"/>
        <color indexed="8"/>
        <rFont val="宋体"/>
        <charset val="134"/>
      </rPr>
      <t>天（含</t>
    </r>
    <r>
      <rPr>
        <sz val="11"/>
        <color indexed="8"/>
        <rFont val="Times New Roman"/>
        <charset val="0"/>
      </rPr>
      <t>13%</t>
    </r>
    <r>
      <rPr>
        <sz val="11"/>
        <color indexed="8"/>
        <rFont val="宋体"/>
        <charset val="134"/>
      </rPr>
      <t xml:space="preserve">增值税） </t>
    </r>
  </si>
  <si>
    <r>
      <rPr>
        <sz val="11"/>
        <color indexed="8"/>
        <rFont val="Times New Roman"/>
        <charset val="0"/>
      </rPr>
      <t>2.</t>
    </r>
    <r>
      <rPr>
        <sz val="11"/>
        <color indexed="8"/>
        <rFont val="宋体"/>
        <charset val="134"/>
      </rPr>
      <t>送货至贵司</t>
    </r>
  </si>
  <si>
    <t xml:space="preserve"> </t>
  </si>
  <si>
    <r>
      <rPr>
        <sz val="10.5"/>
        <color indexed="8"/>
        <rFont val="宋体"/>
        <charset val="134"/>
      </rPr>
      <t xml:space="preserve">                                                                 </t>
    </r>
    <r>
      <rPr>
        <b/>
        <sz val="10.5"/>
        <color indexed="8"/>
        <rFont val="宋体"/>
        <charset val="134"/>
      </rPr>
      <t>核准</t>
    </r>
    <r>
      <rPr>
        <sz val="10.5"/>
        <color indexed="8"/>
        <rFont val="宋体"/>
        <charset val="134"/>
      </rPr>
      <t>：</t>
    </r>
  </si>
  <si>
    <r>
      <rPr>
        <b/>
        <sz val="10.5"/>
        <color indexed="8"/>
        <rFont val="宋体"/>
        <charset val="134"/>
      </rPr>
      <t>客</t>
    </r>
    <r>
      <rPr>
        <b/>
        <sz val="10.5"/>
        <color indexed="8"/>
        <rFont val="Times New Roman"/>
        <charset val="0"/>
      </rPr>
      <t xml:space="preserve"> </t>
    </r>
    <r>
      <rPr>
        <b/>
        <sz val="10.5"/>
        <color indexed="8"/>
        <rFont val="宋体"/>
        <charset val="134"/>
      </rPr>
      <t>户</t>
    </r>
    <r>
      <rPr>
        <b/>
        <sz val="10.5"/>
        <color indexed="8"/>
        <rFont val="Times New Roman"/>
        <charset val="0"/>
      </rPr>
      <t xml:space="preserve"> </t>
    </r>
    <r>
      <rPr>
        <b/>
        <sz val="10.5"/>
        <color indexed="8"/>
        <rFont val="宋体"/>
        <charset val="134"/>
      </rPr>
      <t>签</t>
    </r>
    <r>
      <rPr>
        <b/>
        <sz val="10.5"/>
        <color indexed="8"/>
        <rFont val="Times New Roman"/>
        <charset val="0"/>
      </rPr>
      <t xml:space="preserve"> </t>
    </r>
    <r>
      <rPr>
        <b/>
        <sz val="10.5"/>
        <color indexed="8"/>
        <rFont val="宋体"/>
        <charset val="134"/>
      </rPr>
      <t>复</t>
    </r>
    <r>
      <rPr>
        <b/>
        <sz val="10.5"/>
        <color indexed="8"/>
        <rFont val="Times New Roman"/>
        <charset val="0"/>
      </rPr>
      <t xml:space="preserve">:                                                                                                   </t>
    </r>
    <r>
      <rPr>
        <b/>
        <sz val="10.5"/>
        <color indexed="8"/>
        <rFont val="宋体"/>
        <charset val="134"/>
      </rPr>
      <t>报价人</t>
    </r>
    <r>
      <rPr>
        <b/>
        <sz val="10.5"/>
        <color indexed="8"/>
        <rFont val="Times New Roman"/>
        <charset val="0"/>
      </rPr>
      <t>:朱建云</t>
    </r>
  </si>
  <si>
    <r>
      <rPr>
        <b/>
        <u/>
        <sz val="10.5"/>
        <color indexed="8"/>
        <rFont val="Times New Roman"/>
        <charset val="0"/>
      </rPr>
      <t xml:space="preserve">( Your signature ) </t>
    </r>
    <r>
      <rPr>
        <b/>
        <sz val="10.5"/>
        <color indexed="8"/>
        <rFont val="Times New Roman"/>
        <charset val="0"/>
      </rPr>
      <t xml:space="preserve">                                                                                      </t>
    </r>
    <r>
      <rPr>
        <b/>
        <u/>
        <sz val="10.5"/>
        <color indexed="8"/>
        <rFont val="Times New Roman"/>
        <charset val="0"/>
      </rPr>
      <t xml:space="preserve"> ( Signed for supplier )</t>
    </r>
  </si>
  <si>
    <t xml:space="preserve">   年   月   日                                             </t>
  </si>
  <si>
    <t>填充用量</t>
  </si>
  <si>
    <t>H03VVH2-F 2*0.5</t>
  </si>
  <si>
    <t>H03VVH2-F 2*0.75</t>
  </si>
  <si>
    <t>H03VV-F 2*0.5</t>
  </si>
  <si>
    <t>H03VV-F 2*0.75</t>
  </si>
  <si>
    <t>H03VV-F 3*0.5</t>
  </si>
  <si>
    <t>H03VV-F 3*0.75</t>
  </si>
  <si>
    <t>H05VVH2-F 2*0.75</t>
  </si>
  <si>
    <t>H05VV-F 2*0.75</t>
  </si>
  <si>
    <t>H05VV-F 2*1.0</t>
  </si>
  <si>
    <t>H05VV-F 3*0.75</t>
  </si>
  <si>
    <t>H05VV-F 3*1.0</t>
  </si>
  <si>
    <t>H05VV-F 3*1.5</t>
  </si>
  <si>
    <t>SPT-1 18AWG/2C</t>
  </si>
  <si>
    <t>SPT-1 18AWG/3C</t>
  </si>
  <si>
    <t>SPT-1 16AWG/2C</t>
  </si>
  <si>
    <t>SPT-2 18AWG/2C</t>
  </si>
  <si>
    <t>SPT-2 16AWG/2C</t>
  </si>
  <si>
    <t>SPT-2 18AWG/3C</t>
  </si>
  <si>
    <t>SPT-2 16AWG/3C</t>
  </si>
  <si>
    <t>SVT 18/2C</t>
  </si>
  <si>
    <t>SVT 18/3C</t>
  </si>
  <si>
    <t>SVT 16/2C</t>
  </si>
  <si>
    <t>SVT 16/3C</t>
  </si>
  <si>
    <t>SJT 18/2C</t>
  </si>
  <si>
    <t>SJTW 18/2C</t>
  </si>
  <si>
    <t>NISPT-1 18AWG/2C</t>
  </si>
  <si>
    <t>NISPT-2 18AWG/2C</t>
  </si>
  <si>
    <t>NISPT-2 16AWG/2C</t>
  </si>
  <si>
    <t>HVFF 2*0.75</t>
  </si>
  <si>
    <t>HVFF 2*1.25</t>
  </si>
  <si>
    <t>HVFF 2*2.0</t>
  </si>
  <si>
    <t>HVCTFK 2*0.75</t>
  </si>
  <si>
    <t>HVCTFK 2*1.25</t>
  </si>
  <si>
    <t>HVCTFK 2*2.0</t>
  </si>
  <si>
    <t>HVCTF 2*0.75</t>
  </si>
  <si>
    <t>HVCTF 2*1.25</t>
  </si>
  <si>
    <t>HVCTF 2*2.0</t>
  </si>
  <si>
    <t>HVCTF 3*0.75</t>
  </si>
  <si>
    <t>HVCTF 3*1.25</t>
  </si>
  <si>
    <t>HVCTF 3*2.0</t>
  </si>
  <si>
    <t>H05RR-F 2*0.75</t>
  </si>
  <si>
    <t>H05RR-F 2*1.0</t>
  </si>
  <si>
    <t>H05RR-F 2*1.5</t>
  </si>
  <si>
    <t>H05RR-F 2*2.5</t>
  </si>
  <si>
    <t>H05RR-F 3*1.0</t>
  </si>
  <si>
    <t>H05RR-F 3*1.5</t>
  </si>
  <si>
    <t>H05RR-F 3*2.5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</si>
</sst>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yyyy&quot;年&quot;m&quot;月&quot;d&quot;日&quot;;@"/>
  </numFmts>
  <fonts count="59">
    <font>
      <sz val="11"/>
      <color indexed="8"/>
      <name val="宋体"/>
      <charset val="134"/>
    </font>
    <font>
      <sz val="10"/>
      <color theme="1"/>
      <name val="等线"/>
      <charset val="134"/>
    </font>
    <font>
      <sz val="14"/>
      <name val="微软雅黑 Light"/>
      <charset val="134"/>
    </font>
    <font>
      <sz val="14"/>
      <color indexed="8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9"/>
      <color indexed="8"/>
      <name val="宋体"/>
      <charset val="134"/>
    </font>
    <font>
      <b/>
      <sz val="11"/>
      <color indexed="8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sz val="22"/>
      <color indexed="8"/>
      <name val="宋体"/>
      <charset val="134"/>
    </font>
    <font>
      <sz val="11"/>
      <color indexed="8"/>
      <name val="Times New Roman"/>
      <charset val="0"/>
    </font>
    <font>
      <sz val="12"/>
      <color indexed="8"/>
      <name val="宋体"/>
      <charset val="134"/>
    </font>
    <font>
      <sz val="10.5"/>
      <color rgb="FF000000"/>
      <name val="宋体"/>
      <charset val="134"/>
    </font>
    <font>
      <b/>
      <sz val="12"/>
      <color indexed="8"/>
      <name val="宋体"/>
      <charset val="134"/>
    </font>
    <font>
      <sz val="10.5"/>
      <color rgb="FF000000"/>
      <name val="Times New Roman"/>
      <charset val="0"/>
    </font>
    <font>
      <sz val="10.5"/>
      <color indexed="8"/>
      <name val="宋体"/>
      <charset val="134"/>
    </font>
    <font>
      <sz val="9"/>
      <color indexed="8"/>
      <name val="Times New Roman"/>
      <charset val="0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.5"/>
      <color indexed="8"/>
      <name val="黑体"/>
      <charset val="134"/>
    </font>
    <font>
      <sz val="8"/>
      <color indexed="8"/>
      <name val="宋体"/>
      <charset val="134"/>
    </font>
    <font>
      <sz val="14"/>
      <color indexed="8"/>
      <name val="黑体"/>
      <charset val="134"/>
    </font>
    <font>
      <sz val="16"/>
      <name val="黑体"/>
      <charset val="134"/>
    </font>
    <font>
      <sz val="11"/>
      <color indexed="8"/>
      <name val="黑体"/>
      <charset val="134"/>
    </font>
    <font>
      <sz val="12"/>
      <name val="微软雅黑 Light"/>
      <charset val="134"/>
    </font>
    <font>
      <b/>
      <sz val="12"/>
      <name val="宋体"/>
      <charset val="134"/>
    </font>
    <font>
      <sz val="12"/>
      <name val="宋体"/>
      <charset val="134"/>
      <scheme val="minor"/>
    </font>
    <font>
      <sz val="14"/>
      <color indexed="8"/>
      <name val="Times New Roman"/>
      <charset val="0"/>
    </font>
    <font>
      <sz val="12"/>
      <color indexed="8"/>
      <name val="Times New Roman"/>
      <charset val="0"/>
    </font>
    <font>
      <sz val="11"/>
      <color rgb="FF000000"/>
      <name val="Times New Roman"/>
      <charset val="0"/>
    </font>
    <font>
      <b/>
      <sz val="10.5"/>
      <color indexed="8"/>
      <name val="宋体"/>
      <charset val="134"/>
    </font>
    <font>
      <b/>
      <u/>
      <sz val="10.5"/>
      <color indexed="8"/>
      <name val="Times New Roman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0"/>
      <name val="Wingdings"/>
      <charset val="2"/>
    </font>
    <font>
      <u/>
      <sz val="10"/>
      <name val="宋体"/>
      <charset val="134"/>
    </font>
    <font>
      <sz val="10"/>
      <name val="Wingdings 2"/>
      <charset val="2"/>
    </font>
    <font>
      <b/>
      <sz val="10.5"/>
      <color indexed="8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" borderId="17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4" borderId="20" applyNumberFormat="0" applyAlignment="0" applyProtection="0">
      <alignment vertical="center"/>
    </xf>
    <xf numFmtId="0" fontId="44" fillId="5" borderId="21" applyNumberFormat="0" applyAlignment="0" applyProtection="0">
      <alignment vertical="center"/>
    </xf>
    <xf numFmtId="0" fontId="45" fillId="5" borderId="20" applyNumberFormat="0" applyAlignment="0" applyProtection="0">
      <alignment vertical="center"/>
    </xf>
    <xf numFmtId="0" fontId="46" fillId="6" borderId="22" applyNumberFormat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4" fillId="0" borderId="0">
      <alignment vertical="center"/>
    </xf>
    <xf numFmtId="0" fontId="0" fillId="0" borderId="0">
      <alignment vertical="center"/>
    </xf>
    <xf numFmtId="0" fontId="54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49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top"/>
    </xf>
    <xf numFmtId="0" fontId="9" fillId="0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0" borderId="1" xfId="50" applyFont="1" applyFill="1" applyBorder="1" applyAlignment="1">
      <alignment horizontal="center" vertical="center" wrapText="1"/>
    </xf>
    <xf numFmtId="0" fontId="19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20" fillId="0" borderId="1" xfId="51" applyFont="1" applyFill="1" applyBorder="1" applyAlignment="1">
      <alignment horizontal="center" vertical="center"/>
    </xf>
    <xf numFmtId="0" fontId="0" fillId="0" borderId="1" xfId="5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178" fontId="24" fillId="0" borderId="15" xfId="0" applyNumberFormat="1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2" fillId="0" borderId="1" xfId="50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/>
    </xf>
    <xf numFmtId="0" fontId="27" fillId="0" borderId="1" xfId="5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5" fillId="0" borderId="1" xfId="51" applyFont="1" applyFill="1" applyBorder="1" applyAlignment="1">
      <alignment horizontal="center" vertical="center"/>
    </xf>
    <xf numFmtId="58" fontId="5" fillId="0" borderId="1" xfId="50" applyNumberFormat="1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vertical="center"/>
    </xf>
    <xf numFmtId="0" fontId="29" fillId="2" borderId="0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0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3" fillId="0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179" fontId="16" fillId="2" borderId="0" xfId="0" applyNumberFormat="1" applyFont="1" applyFill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4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834390</xdr:colOff>
      <xdr:row>27</xdr:row>
      <xdr:rowOff>19685</xdr:rowOff>
    </xdr:from>
    <xdr:to>
      <xdr:col>2</xdr:col>
      <xdr:colOff>2886710</xdr:colOff>
      <xdr:row>27</xdr:row>
      <xdr:rowOff>19685</xdr:rowOff>
    </xdr:to>
    <xdr:sp>
      <xdr:nvSpPr>
        <xdr:cNvPr id="2" name="Line 1"/>
        <xdr:cNvSpPr/>
      </xdr:nvSpPr>
      <xdr:spPr>
        <a:xfrm>
          <a:off x="1920240" y="8503285"/>
          <a:ext cx="205232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12</xdr:col>
      <xdr:colOff>219075</xdr:colOff>
      <xdr:row>25</xdr:row>
      <xdr:rowOff>205105</xdr:rowOff>
    </xdr:from>
    <xdr:to>
      <xdr:col>14</xdr:col>
      <xdr:colOff>433070</xdr:colOff>
      <xdr:row>25</xdr:row>
      <xdr:rowOff>214630</xdr:rowOff>
    </xdr:to>
    <xdr:sp>
      <xdr:nvSpPr>
        <xdr:cNvPr id="3" name="Line 1"/>
        <xdr:cNvSpPr/>
      </xdr:nvSpPr>
      <xdr:spPr>
        <a:xfrm>
          <a:off x="5981700" y="8159750"/>
          <a:ext cx="177609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12</xdr:col>
      <xdr:colOff>190500</xdr:colOff>
      <xdr:row>28</xdr:row>
      <xdr:rowOff>90170</xdr:rowOff>
    </xdr:from>
    <xdr:to>
      <xdr:col>14</xdr:col>
      <xdr:colOff>409575</xdr:colOff>
      <xdr:row>28</xdr:row>
      <xdr:rowOff>100330</xdr:rowOff>
    </xdr:to>
    <xdr:sp>
      <xdr:nvSpPr>
        <xdr:cNvPr id="4" name="Line 1"/>
        <xdr:cNvSpPr/>
      </xdr:nvSpPr>
      <xdr:spPr>
        <a:xfrm>
          <a:off x="5953125" y="8883650"/>
          <a:ext cx="1781175" cy="101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834390</xdr:colOff>
      <xdr:row>26</xdr:row>
      <xdr:rowOff>20320</xdr:rowOff>
    </xdr:from>
    <xdr:to>
      <xdr:col>2</xdr:col>
      <xdr:colOff>2886710</xdr:colOff>
      <xdr:row>26</xdr:row>
      <xdr:rowOff>20320</xdr:rowOff>
    </xdr:to>
    <xdr:sp>
      <xdr:nvSpPr>
        <xdr:cNvPr id="5" name="Line 1"/>
        <xdr:cNvSpPr/>
      </xdr:nvSpPr>
      <xdr:spPr>
        <a:xfrm>
          <a:off x="1920240" y="8199120"/>
          <a:ext cx="205232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AF43"/>
  <sheetViews>
    <sheetView tabSelected="1" zoomScaleSheetLayoutView="60" topLeftCell="A2" workbookViewId="0">
      <selection activeCell="N14" sqref="N14"/>
    </sheetView>
  </sheetViews>
  <sheetFormatPr defaultColWidth="9" defaultRowHeight="13.5"/>
  <cols>
    <col min="1" max="1" width="9" style="13"/>
    <col min="2" max="2" width="5.25" style="13" customWidth="1"/>
    <col min="3" max="3" width="54.375" style="13" customWidth="1"/>
    <col min="4" max="5" width="6.875" style="13" hidden="1" customWidth="1"/>
    <col min="6" max="6" width="6.875" style="14" hidden="1" customWidth="1"/>
    <col min="7" max="10" width="7.625" style="13" hidden="1" customWidth="1"/>
    <col min="11" max="11" width="9.625" style="13" hidden="1" customWidth="1"/>
    <col min="12" max="12" width="7" style="13" customWidth="1"/>
    <col min="13" max="13" width="9.75" style="13" customWidth="1"/>
    <col min="14" max="14" width="10.75" style="13" customWidth="1"/>
    <col min="15" max="15" width="19.875" style="13" customWidth="1"/>
    <col min="16" max="28" width="9" style="13"/>
    <col min="29" max="29" width="18.375" style="13" customWidth="1"/>
    <col min="30" max="30" width="9" style="13"/>
    <col min="31" max="31" width="9.375" style="13"/>
    <col min="32" max="16384" width="9" style="13"/>
  </cols>
  <sheetData>
    <row r="2" s="8" customFormat="1" ht="25.5" spans="2:32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="8" customFormat="1" ht="21" customHeight="1" spans="2:32"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="8" customFormat="1" ht="14" customHeight="1" spans="2:32">
      <c r="B4" s="17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="8" customFormat="1" ht="14" customHeight="1" spans="2:32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ht="27" spans="2:32">
      <c r="B6" s="18" t="s">
        <v>4</v>
      </c>
      <c r="C6" s="18"/>
      <c r="D6" s="18"/>
      <c r="E6" s="18"/>
      <c r="F6" s="19"/>
      <c r="G6" s="18"/>
      <c r="H6" s="18"/>
      <c r="I6" s="18"/>
      <c r="J6" s="18"/>
      <c r="K6" s="18"/>
      <c r="L6" s="18"/>
      <c r="M6" s="18"/>
      <c r="N6" s="18"/>
      <c r="O6" s="18"/>
    </row>
    <row r="7" ht="15" spans="2:32">
      <c r="B7" s="20" t="s">
        <v>5</v>
      </c>
      <c r="C7" s="20"/>
      <c r="D7" s="20"/>
      <c r="E7" s="20"/>
      <c r="F7" s="21"/>
      <c r="G7" s="20"/>
      <c r="H7" s="20"/>
      <c r="I7" s="20"/>
      <c r="J7" s="20"/>
      <c r="K7" s="20"/>
      <c r="L7" s="20"/>
      <c r="M7" s="20"/>
      <c r="N7" s="20"/>
      <c r="O7" s="20"/>
    </row>
    <row r="8" ht="14.25" spans="2:32">
      <c r="B8" s="22" t="s">
        <v>6</v>
      </c>
      <c r="C8" s="22"/>
      <c r="D8" s="22"/>
      <c r="E8" s="22"/>
      <c r="F8" s="23"/>
      <c r="G8" s="22"/>
      <c r="H8" s="22"/>
      <c r="I8" s="22"/>
      <c r="J8" s="22"/>
      <c r="K8" s="22"/>
      <c r="L8" s="22"/>
      <c r="M8" s="22"/>
      <c r="N8" s="22"/>
      <c r="O8" s="22"/>
    </row>
    <row r="9" spans="2:32">
      <c r="B9" s="24" t="s">
        <v>7</v>
      </c>
      <c r="C9" s="25"/>
      <c r="D9" s="25"/>
      <c r="E9" s="25"/>
      <c r="F9" s="26"/>
      <c r="G9" s="25"/>
      <c r="H9" s="25"/>
      <c r="I9" s="25"/>
      <c r="J9" s="25"/>
      <c r="K9" s="25"/>
      <c r="L9" s="25"/>
      <c r="M9" s="25"/>
      <c r="N9" s="25"/>
      <c r="O9" s="25"/>
    </row>
    <row r="10" customHeight="1" spans="2:32">
      <c r="B10" s="27" t="str">
        <f ca="1">"报价日期 DATE："&amp;TEXT(TODAY(),"yyyy年mm月dd日")</f>
        <v>报价日期 DATE：2026年05月05日</v>
      </c>
      <c r="C10" s="28"/>
      <c r="D10" s="28"/>
      <c r="E10" s="28"/>
      <c r="F10" s="29"/>
      <c r="G10" s="28"/>
      <c r="H10" s="28"/>
      <c r="I10" s="28"/>
      <c r="J10" s="28"/>
      <c r="K10" s="28"/>
      <c r="L10" s="28"/>
      <c r="M10" s="28"/>
      <c r="N10" s="28"/>
      <c r="O10" s="28"/>
    </row>
    <row r="11" s="9" customFormat="1" spans="2:32">
      <c r="B11" s="30" t="s">
        <v>8</v>
      </c>
      <c r="C11" s="31" t="s">
        <v>9</v>
      </c>
      <c r="D11" s="32" t="s">
        <v>10</v>
      </c>
      <c r="E11" s="33"/>
      <c r="F11" s="34"/>
      <c r="G11" s="35"/>
      <c r="H11" s="36"/>
      <c r="I11" s="36"/>
      <c r="J11" s="36"/>
      <c r="K11" s="36"/>
      <c r="L11" s="37" t="s">
        <v>11</v>
      </c>
      <c r="M11" s="31" t="s">
        <v>12</v>
      </c>
      <c r="N11" s="38" t="s">
        <v>13</v>
      </c>
      <c r="O11" s="31" t="s">
        <v>14</v>
      </c>
    </row>
    <row r="12" ht="35" customHeight="1" spans="2:32">
      <c r="B12" s="39" t="s">
        <v>15</v>
      </c>
      <c r="C12" s="40" t="s">
        <v>16</v>
      </c>
      <c r="D12" s="41" t="s">
        <v>17</v>
      </c>
      <c r="E12" s="41" t="s">
        <v>18</v>
      </c>
      <c r="F12" s="42" t="s">
        <v>19</v>
      </c>
      <c r="G12" s="41" t="s">
        <v>20</v>
      </c>
      <c r="H12" s="41" t="s">
        <v>21</v>
      </c>
      <c r="I12" s="41" t="s">
        <v>22</v>
      </c>
      <c r="J12" s="41" t="s">
        <v>23</v>
      </c>
      <c r="K12" s="43" t="s">
        <v>24</v>
      </c>
      <c r="L12" s="43" t="s">
        <v>25</v>
      </c>
      <c r="M12" s="44" t="s">
        <v>26</v>
      </c>
      <c r="N12" s="45" t="s">
        <v>27</v>
      </c>
      <c r="O12" s="46" t="s">
        <v>28</v>
      </c>
      <c r="P12" s="47" t="s">
        <v>29</v>
      </c>
      <c r="Q12" s="47" t="s">
        <v>30</v>
      </c>
      <c r="R12" s="47" t="s">
        <v>31</v>
      </c>
      <c r="S12" s="47" t="s">
        <v>32</v>
      </c>
      <c r="T12" s="47"/>
      <c r="U12" s="47"/>
      <c r="V12" s="47"/>
      <c r="W12" s="47" t="s">
        <v>33</v>
      </c>
      <c r="X12" s="3" t="s">
        <v>34</v>
      </c>
      <c r="Y12" s="3" t="s">
        <v>35</v>
      </c>
      <c r="Z12" s="48" t="s">
        <v>36</v>
      </c>
      <c r="AA12" s="49" t="s">
        <v>37</v>
      </c>
      <c r="AB12" s="3" t="s">
        <v>38</v>
      </c>
      <c r="AC12" s="48" t="s">
        <v>39</v>
      </c>
      <c r="AD12" s="50" t="s">
        <v>40</v>
      </c>
      <c r="AE12" s="51" t="s">
        <v>41</v>
      </c>
      <c r="AF12" s="51" t="s">
        <v>42</v>
      </c>
    </row>
    <row r="13" s="10" customFormat="1" ht="54" customHeight="1" spans="2:32">
      <c r="B13" s="52">
        <v>1</v>
      </c>
      <c r="C13" s="53" t="s">
        <v>43</v>
      </c>
      <c r="D13" s="54">
        <v>1.95</v>
      </c>
      <c r="E13" s="54">
        <f>AD13</f>
        <v>3.76</v>
      </c>
      <c r="F13" s="54">
        <v>1.12</v>
      </c>
      <c r="G13" s="54"/>
      <c r="H13" s="55"/>
      <c r="I13" s="55"/>
      <c r="J13" s="55"/>
      <c r="K13" s="56" t="s">
        <v>44</v>
      </c>
      <c r="L13" s="57" t="s">
        <v>45</v>
      </c>
      <c r="M13" s="58">
        <f>E13*F13+D13+G13+H13+I13+J13</f>
        <v>6.1612</v>
      </c>
      <c r="N13" s="59" t="s">
        <v>46</v>
      </c>
      <c r="O13" s="60">
        <v>51030051</v>
      </c>
      <c r="P13" s="61">
        <v>1.5</v>
      </c>
      <c r="Q13" s="62">
        <f>AD13</f>
        <v>3.76</v>
      </c>
      <c r="R13" s="61">
        <v>1.12</v>
      </c>
      <c r="S13" s="63">
        <v>0.8</v>
      </c>
      <c r="T13" s="63"/>
      <c r="U13" s="62"/>
      <c r="V13" s="62"/>
      <c r="W13" s="62">
        <v>0</v>
      </c>
      <c r="X13" s="64">
        <f>VLOOKUP($AC13,电线规格用量数据!$A:$C,2,0)</f>
        <v>21.5</v>
      </c>
      <c r="Y13" s="64">
        <f>VLOOKUP($AC13,电线规格用量数据!$A:$C,3,0)</f>
        <v>60.93</v>
      </c>
      <c r="Z13" s="65">
        <f>102+4</f>
        <v>106</v>
      </c>
      <c r="AA13" s="66">
        <v>12</v>
      </c>
      <c r="AB13" s="66">
        <v>0.8</v>
      </c>
      <c r="AC13" s="2" t="s">
        <v>47</v>
      </c>
      <c r="AD13" s="67">
        <f>ROUND((((X13*Z13)+(Y13*AA13))/1000)/AB13,2)</f>
        <v>3.76</v>
      </c>
      <c r="AE13" s="68">
        <v>46147</v>
      </c>
      <c r="AF13" s="69"/>
    </row>
    <row r="14" s="10" customFormat="1" ht="72" customHeight="1" spans="2:32">
      <c r="B14" s="52">
        <v>2</v>
      </c>
      <c r="C14" s="53" t="s">
        <v>48</v>
      </c>
      <c r="D14" s="54">
        <v>1.65</v>
      </c>
      <c r="E14" s="54">
        <f>AD14</f>
        <v>4.21</v>
      </c>
      <c r="F14" s="54">
        <v>1.75</v>
      </c>
      <c r="G14" s="54"/>
      <c r="H14" s="55"/>
      <c r="I14" s="55"/>
      <c r="J14" s="55"/>
      <c r="K14" s="56" t="s">
        <v>44</v>
      </c>
      <c r="L14" s="57" t="s">
        <v>45</v>
      </c>
      <c r="M14" s="58">
        <f>E14*F14+D14+G14+H14+I14+J14</f>
        <v>9.0175</v>
      </c>
      <c r="N14" s="59" t="s">
        <v>46</v>
      </c>
      <c r="O14" s="60">
        <v>51030050</v>
      </c>
      <c r="P14" s="61">
        <v>1.5</v>
      </c>
      <c r="Q14" s="62">
        <f>AD14</f>
        <v>4.21</v>
      </c>
      <c r="R14" s="61">
        <v>1.5</v>
      </c>
      <c r="S14" s="63">
        <v>0.8</v>
      </c>
      <c r="T14" s="63"/>
      <c r="U14" s="62"/>
      <c r="V14" s="62"/>
      <c r="W14" s="62">
        <v>0</v>
      </c>
      <c r="X14" s="64">
        <f>VLOOKUP($AC14,电线规格用量数据!$A:$C,2,0)</f>
        <v>23.06</v>
      </c>
      <c r="Y14" s="64">
        <f>VLOOKUP($AC14,电线规格用量数据!$A:$C,3,0)</f>
        <v>41.91</v>
      </c>
      <c r="Z14" s="65">
        <f>104+4</f>
        <v>108</v>
      </c>
      <c r="AA14" s="66">
        <v>16</v>
      </c>
      <c r="AB14" s="66">
        <v>0.75</v>
      </c>
      <c r="AC14" s="2" t="s">
        <v>49</v>
      </c>
      <c r="AD14" s="67">
        <f>ROUND((((X14*Z14)+(Y14*AA14))/1000)/AB14,2)</f>
        <v>4.21</v>
      </c>
      <c r="AE14" s="68">
        <v>46120</v>
      </c>
      <c r="AF14" s="69"/>
    </row>
    <row r="16" s="8" customFormat="1" ht="25.05" customHeight="1" spans="2:32">
      <c r="B16" s="70" t="s">
        <v>50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="8" customFormat="1" ht="25.05" customHeight="1" spans="2:15">
      <c r="B17" s="71" t="s">
        <v>51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</row>
    <row r="18" s="8" customFormat="1" ht="25.05" customHeight="1" spans="2:15">
      <c r="B18" s="71" t="s">
        <v>52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</row>
    <row r="19" s="8" customFormat="1" ht="25.05" customHeight="1" spans="2:15">
      <c r="B19" s="71" t="s">
        <v>53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</row>
    <row r="20" s="8" customFormat="1" ht="25.05" customHeight="1" spans="2:15">
      <c r="B20" s="70" t="s">
        <v>54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="8" customFormat="1" ht="25.05" customHeight="1" spans="2:15">
      <c r="B21" s="72" t="s">
        <v>55</v>
      </c>
      <c r="C21" s="72"/>
      <c r="D21" s="72"/>
      <c r="E21" s="72"/>
      <c r="F21" s="72"/>
      <c r="G21" s="72"/>
    </row>
    <row r="22" s="8" customFormat="1" ht="25.05" customHeight="1" spans="2:15">
      <c r="B22" s="72" t="s">
        <v>56</v>
      </c>
      <c r="C22" s="72"/>
      <c r="D22" s="72"/>
      <c r="E22" s="72"/>
      <c r="F22" s="72"/>
      <c r="G22" s="72"/>
    </row>
    <row r="23" s="8" customFormat="1" ht="25.05" customHeight="1" spans="2:15">
      <c r="B23" s="72" t="s">
        <v>57</v>
      </c>
      <c r="C23" s="72"/>
      <c r="D23" s="72"/>
      <c r="E23" s="72"/>
      <c r="F23" s="72"/>
      <c r="G23" s="72"/>
    </row>
    <row r="24" s="8" customFormat="1" ht="25.05" customHeight="1" spans="2:15">
      <c r="B24" s="70"/>
      <c r="C24" s="70"/>
      <c r="D24" s="70"/>
      <c r="E24" s="70"/>
      <c r="F24" s="70"/>
      <c r="G24" s="70"/>
    </row>
    <row r="25" s="8" customFormat="1" ht="41.65" customHeight="1" spans="2:15">
      <c r="B25" s="72" t="s">
        <v>58</v>
      </c>
      <c r="C25" s="72"/>
      <c r="D25" s="70"/>
      <c r="E25" s="70"/>
      <c r="F25" s="70"/>
      <c r="G25" s="70"/>
      <c r="L25" s="70" t="s">
        <v>59</v>
      </c>
      <c r="M25" s="72"/>
      <c r="N25" s="72"/>
      <c r="O25" s="72"/>
    </row>
    <row r="26" s="8" customFormat="1" ht="17.65" customHeight="1" spans="2:15">
      <c r="B26" s="72" t="s">
        <v>60</v>
      </c>
      <c r="C26" s="72"/>
      <c r="L26" s="70" t="s">
        <v>61</v>
      </c>
      <c r="M26" s="72"/>
      <c r="N26" s="72"/>
      <c r="O26" s="72"/>
    </row>
    <row r="27" s="8" customFormat="1" ht="24" customHeight="1" spans="2:15">
      <c r="B27" s="72" t="s">
        <v>62</v>
      </c>
      <c r="C27" s="72"/>
      <c r="L27" s="70" t="s">
        <v>63</v>
      </c>
      <c r="M27" s="72"/>
      <c r="N27" s="72"/>
      <c r="O27" s="72"/>
    </row>
    <row r="28" s="8" customFormat="1" ht="24.4" customHeight="1" spans="2:15">
      <c r="B28" s="72"/>
      <c r="C28" s="72"/>
      <c r="L28" s="70" t="s">
        <v>64</v>
      </c>
      <c r="M28" s="72"/>
      <c r="N28" s="72"/>
      <c r="O28" s="72"/>
    </row>
    <row r="29" s="8" customFormat="1" ht="18" customHeight="1" spans="2:15">
      <c r="B29" s="72"/>
      <c r="C29" s="72"/>
      <c r="L29" s="72"/>
      <c r="M29" s="72"/>
      <c r="N29" s="72"/>
      <c r="O29" s="72"/>
    </row>
    <row r="30" s="8" customFormat="1" ht="18" customHeight="1" spans="2:15">
      <c r="B30" s="72"/>
      <c r="C30" s="72"/>
      <c r="L30" s="72" t="s">
        <v>65</v>
      </c>
      <c r="M30" s="72"/>
      <c r="N30" s="72"/>
      <c r="O30" s="72"/>
    </row>
    <row r="31" s="8" customFormat="1" ht="18" customHeight="1" spans="2:15">
      <c r="B31" s="72"/>
      <c r="C31" s="72"/>
    </row>
    <row r="32" s="8" customFormat="1" ht="14.25"/>
    <row r="33" hidden="1"/>
    <row r="34" s="11" customFormat="1" ht="18.75" hidden="1" spans="2:15">
      <c r="B34" s="45"/>
      <c r="C34" s="73"/>
      <c r="D34" s="73"/>
      <c r="E34" s="73"/>
      <c r="F34" s="74"/>
      <c r="G34" s="73"/>
      <c r="H34" s="73"/>
      <c r="I34" s="73"/>
      <c r="J34" s="73"/>
      <c r="K34" s="73"/>
      <c r="L34" s="75"/>
      <c r="M34" s="45"/>
      <c r="N34" s="76" t="s">
        <v>66</v>
      </c>
      <c r="O34" s="76"/>
    </row>
    <row r="35" ht="15" hidden="1" spans="2:15">
      <c r="B35" s="77" t="s">
        <v>67</v>
      </c>
      <c r="C35" s="78"/>
      <c r="D35" s="78"/>
      <c r="E35" s="78"/>
      <c r="F35" s="79"/>
      <c r="G35" s="78"/>
      <c r="H35" s="78"/>
      <c r="I35" s="78"/>
      <c r="J35" s="78"/>
      <c r="K35" s="78"/>
      <c r="L35" s="78"/>
      <c r="M35" s="78"/>
      <c r="N35" s="78"/>
      <c r="O35" s="78"/>
    </row>
    <row r="36" ht="14.1" hidden="1" customHeight="1" spans="2:15">
      <c r="B36" s="78" t="s">
        <v>68</v>
      </c>
      <c r="C36" s="78"/>
      <c r="D36" s="78"/>
      <c r="E36" s="78"/>
      <c r="F36" s="79"/>
      <c r="G36" s="78"/>
      <c r="H36" s="78"/>
      <c r="I36" s="78"/>
      <c r="J36" s="78"/>
      <c r="K36" s="78"/>
      <c r="L36" s="78"/>
      <c r="M36" s="78"/>
      <c r="N36" s="78"/>
      <c r="O36" s="78"/>
    </row>
    <row r="37" ht="15.75" hidden="1" customHeight="1" spans="2:15">
      <c r="B37" s="77" t="s">
        <v>69</v>
      </c>
      <c r="C37" s="78"/>
      <c r="D37" s="78"/>
      <c r="E37" s="78"/>
      <c r="F37" s="79"/>
      <c r="G37" s="78"/>
      <c r="H37" s="78"/>
      <c r="I37" s="78"/>
      <c r="J37" s="78"/>
      <c r="K37" s="78"/>
      <c r="L37" s="78"/>
      <c r="M37" s="78"/>
      <c r="N37" s="78"/>
      <c r="O37" s="78"/>
    </row>
    <row r="38" hidden="1" spans="2:15">
      <c r="B38" s="80" t="s">
        <v>70</v>
      </c>
      <c r="C38" s="80"/>
      <c r="D38" s="80"/>
      <c r="E38" s="80"/>
      <c r="F38" s="81"/>
      <c r="G38" s="80"/>
      <c r="H38" s="80"/>
      <c r="I38" s="80"/>
      <c r="J38" s="80"/>
      <c r="K38" s="80"/>
      <c r="L38" s="80"/>
      <c r="M38" s="80"/>
      <c r="N38" s="80"/>
      <c r="O38" s="80"/>
    </row>
    <row r="39" hidden="1" spans="2:15">
      <c r="B39" s="80"/>
      <c r="C39" s="80"/>
      <c r="D39" s="80"/>
      <c r="E39" s="80"/>
      <c r="F39" s="81"/>
      <c r="G39" s="80"/>
      <c r="H39" s="80"/>
      <c r="I39" s="80"/>
      <c r="J39" s="80"/>
      <c r="K39" s="80"/>
      <c r="L39" s="80"/>
      <c r="M39" s="80"/>
      <c r="N39" s="80"/>
      <c r="O39" s="80"/>
    </row>
    <row r="40" hidden="1" spans="2:15">
      <c r="B40" s="82" t="s">
        <v>71</v>
      </c>
      <c r="C40" s="82"/>
      <c r="D40" s="82"/>
      <c r="E40" s="82"/>
      <c r="F40" s="83"/>
      <c r="G40" s="82"/>
      <c r="H40" s="82"/>
      <c r="I40" s="82"/>
      <c r="J40" s="82"/>
      <c r="K40" s="82"/>
      <c r="L40" s="82"/>
      <c r="M40" s="82"/>
      <c r="N40" s="82"/>
      <c r="O40" s="82"/>
    </row>
    <row r="41" s="12" customFormat="1" hidden="1" spans="2:15">
      <c r="B41" s="84" t="s">
        <v>72</v>
      </c>
      <c r="C41" s="84"/>
      <c r="D41" s="84"/>
      <c r="E41" s="84"/>
      <c r="F41" s="85"/>
      <c r="G41" s="84"/>
      <c r="H41" s="84"/>
      <c r="I41" s="84"/>
      <c r="J41" s="84"/>
      <c r="K41" s="84"/>
      <c r="L41" s="84"/>
      <c r="M41" s="84"/>
      <c r="N41" s="84"/>
      <c r="O41" s="84"/>
    </row>
    <row r="42" s="12" customFormat="1" hidden="1" spans="2:15">
      <c r="B42" s="86" t="s">
        <v>73</v>
      </c>
      <c r="C42" s="86"/>
      <c r="D42" s="86"/>
      <c r="E42" s="86"/>
      <c r="F42" s="87">
        <f ca="1">TODAY()</f>
        <v>46147</v>
      </c>
      <c r="G42" s="87"/>
      <c r="H42" s="87"/>
      <c r="I42" s="87"/>
      <c r="J42" s="86"/>
      <c r="K42" s="86"/>
      <c r="L42" s="87"/>
      <c r="M42" s="87"/>
      <c r="N42" s="87"/>
      <c r="O42" s="87"/>
    </row>
    <row r="43" hidden="1" spans="2:15">
      <c r="N43" s="9"/>
      <c r="O43" s="9"/>
    </row>
  </sheetData>
  <mergeCells count="24">
    <mergeCell ref="B2:O2"/>
    <mergeCell ref="B3:O3"/>
    <mergeCell ref="B4:O4"/>
    <mergeCell ref="B5:O5"/>
    <mergeCell ref="B6:O6"/>
    <mergeCell ref="B7:O7"/>
    <mergeCell ref="B8:O8"/>
    <mergeCell ref="B9:O9"/>
    <mergeCell ref="B10:O10"/>
    <mergeCell ref="D11:F11"/>
    <mergeCell ref="S12:V12"/>
    <mergeCell ref="B16:O16"/>
    <mergeCell ref="B17:O17"/>
    <mergeCell ref="B18:O18"/>
    <mergeCell ref="B19:O19"/>
    <mergeCell ref="B20:O20"/>
    <mergeCell ref="N34:O34"/>
    <mergeCell ref="B35:O35"/>
    <mergeCell ref="B38:O38"/>
    <mergeCell ref="B40:O40"/>
    <mergeCell ref="B41:O41"/>
    <mergeCell ref="F42:I42"/>
    <mergeCell ref="L42:O42"/>
    <mergeCell ref="N43:O43"/>
  </mergeCells>
  <printOptions horizontalCentered="1"/>
  <pageMargins left="0.31496062992126" right="0.31496062992126" top="0.275590551181102" bottom="0.236220472440945" header="0.15748031496063" footer="0.15748031496063"/>
  <pageSetup paperSize="9" scale="92" fitToHeight="0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opLeftCell="A10" workbookViewId="0">
      <selection activeCell="A1" sqref="A1:D50"/>
    </sheetView>
  </sheetViews>
  <sheetFormatPr defaultColWidth="9" defaultRowHeight="13.5" outlineLevelCol="3"/>
  <cols>
    <col min="1" max="1" width="26.25" style="1" customWidth="1"/>
    <col min="2" max="2" width="9" style="1"/>
    <col min="3" max="3" width="9.875" style="1"/>
    <col min="4" max="4" width="9" style="1"/>
  </cols>
  <sheetData>
    <row r="1" spans="1:4">
      <c r="A1" s="2" t="s">
        <v>39</v>
      </c>
      <c r="B1" s="3" t="s">
        <v>34</v>
      </c>
      <c r="C1" s="3" t="s">
        <v>35</v>
      </c>
      <c r="D1" s="2" t="s">
        <v>74</v>
      </c>
    </row>
    <row r="2" ht="20.25" spans="1:4">
      <c r="A2" s="2" t="s">
        <v>75</v>
      </c>
      <c r="B2" s="4">
        <v>9.16</v>
      </c>
      <c r="C2" s="4">
        <v>20.37</v>
      </c>
      <c r="D2" s="5"/>
    </row>
    <row r="3" ht="20.25" spans="1:4">
      <c r="A3" s="2" t="s">
        <v>76</v>
      </c>
      <c r="B3" s="4">
        <v>13.95</v>
      </c>
      <c r="C3" s="4">
        <v>23.12</v>
      </c>
      <c r="D3" s="5"/>
    </row>
    <row r="4" ht="20.25" spans="1:4">
      <c r="A4" s="2" t="s">
        <v>77</v>
      </c>
      <c r="B4" s="4">
        <v>9.29</v>
      </c>
      <c r="C4" s="4">
        <v>30.03</v>
      </c>
      <c r="D4" s="5"/>
    </row>
    <row r="5" ht="20.25" spans="1:4">
      <c r="A5" s="2" t="s">
        <v>78</v>
      </c>
      <c r="B5" s="4">
        <v>14.17</v>
      </c>
      <c r="C5" s="4">
        <v>32.79</v>
      </c>
      <c r="D5" s="5"/>
    </row>
    <row r="6" ht="20.25" spans="1:4">
      <c r="A6" s="2" t="s">
        <v>79</v>
      </c>
      <c r="B6" s="4">
        <v>13.94</v>
      </c>
      <c r="C6" s="4">
        <v>32.8</v>
      </c>
      <c r="D6" s="5"/>
    </row>
    <row r="7" ht="20.25" spans="1:4">
      <c r="A7" s="2" t="s">
        <v>80</v>
      </c>
      <c r="B7" s="4">
        <v>21.25</v>
      </c>
      <c r="C7" s="4">
        <v>39.48</v>
      </c>
      <c r="D7" s="5"/>
    </row>
    <row r="8" ht="18.75" spans="1:4">
      <c r="A8" s="2" t="s">
        <v>81</v>
      </c>
      <c r="B8" s="6">
        <v>13.95</v>
      </c>
      <c r="C8" s="6">
        <v>30.44</v>
      </c>
      <c r="D8" s="5"/>
    </row>
    <row r="9" ht="20.25" spans="1:4">
      <c r="A9" s="2" t="s">
        <v>82</v>
      </c>
      <c r="B9" s="4">
        <v>14.17</v>
      </c>
      <c r="C9" s="4">
        <v>43.98</v>
      </c>
      <c r="D9" s="5"/>
    </row>
    <row r="10" ht="20.25" spans="1:4">
      <c r="A10" s="2" t="s">
        <v>83</v>
      </c>
      <c r="B10" s="4">
        <v>18.88</v>
      </c>
      <c r="C10" s="4">
        <v>49.09</v>
      </c>
      <c r="D10" s="5"/>
    </row>
    <row r="11" ht="18.75" spans="1:4">
      <c r="A11" s="2" t="s">
        <v>84</v>
      </c>
      <c r="B11" s="6">
        <v>21.25</v>
      </c>
      <c r="C11" s="6">
        <v>50.21</v>
      </c>
      <c r="D11" s="5"/>
    </row>
    <row r="12" ht="18.75" spans="1:4">
      <c r="A12" s="2" t="s">
        <v>85</v>
      </c>
      <c r="B12" s="6">
        <v>28.33</v>
      </c>
      <c r="C12" s="6">
        <v>51.9</v>
      </c>
      <c r="D12" s="5"/>
    </row>
    <row r="13" ht="20.25" spans="1:4">
      <c r="A13" s="2" t="s">
        <v>86</v>
      </c>
      <c r="B13" s="4">
        <v>41.46</v>
      </c>
      <c r="C13" s="4">
        <v>74.65</v>
      </c>
      <c r="D13" s="5"/>
    </row>
    <row r="14" ht="20.25" spans="1:4">
      <c r="A14" s="2" t="s">
        <v>87</v>
      </c>
      <c r="B14" s="4">
        <v>15.26</v>
      </c>
      <c r="C14" s="4">
        <v>15.98</v>
      </c>
      <c r="D14" s="5"/>
    </row>
    <row r="15" ht="20.25" spans="1:4">
      <c r="A15" s="2" t="s">
        <v>88</v>
      </c>
      <c r="B15" s="4">
        <v>22.89</v>
      </c>
      <c r="C15" s="4">
        <v>23.81</v>
      </c>
      <c r="D15" s="5"/>
    </row>
    <row r="16" ht="18.75" spans="1:4">
      <c r="A16" s="2" t="s">
        <v>89</v>
      </c>
      <c r="B16" s="6"/>
      <c r="C16" s="6"/>
      <c r="D16" s="5"/>
    </row>
    <row r="17" ht="20.25" spans="1:4">
      <c r="A17" s="2" t="s">
        <v>90</v>
      </c>
      <c r="B17" s="4">
        <v>15.26</v>
      </c>
      <c r="C17" s="4">
        <v>26.91</v>
      </c>
      <c r="D17" s="5"/>
    </row>
    <row r="18" ht="20.25" spans="1:4">
      <c r="A18" s="2" t="s">
        <v>91</v>
      </c>
      <c r="B18" s="4">
        <v>24.19</v>
      </c>
      <c r="C18" s="4">
        <v>30.28</v>
      </c>
      <c r="D18" s="5"/>
    </row>
    <row r="19" ht="20.25" spans="1:4">
      <c r="A19" s="2" t="s">
        <v>92</v>
      </c>
      <c r="B19" s="4">
        <v>22.89</v>
      </c>
      <c r="C19" s="4">
        <v>40.2</v>
      </c>
      <c r="D19" s="5"/>
    </row>
    <row r="20" ht="20.25" spans="1:4">
      <c r="A20" s="2" t="s">
        <v>93</v>
      </c>
      <c r="B20" s="4">
        <v>36.29</v>
      </c>
      <c r="C20" s="4">
        <v>45.23</v>
      </c>
      <c r="D20" s="5"/>
    </row>
    <row r="21" ht="20.25" spans="1:4">
      <c r="A21" s="2" t="s">
        <v>94</v>
      </c>
      <c r="B21" s="4">
        <v>15.72</v>
      </c>
      <c r="C21" s="4">
        <v>39.87</v>
      </c>
      <c r="D21" s="7">
        <v>2</v>
      </c>
    </row>
    <row r="22" ht="20.25" spans="1:4">
      <c r="A22" s="2" t="s">
        <v>95</v>
      </c>
      <c r="B22" s="4">
        <v>23.58</v>
      </c>
      <c r="C22" s="4">
        <v>42.97</v>
      </c>
      <c r="D22" s="7">
        <v>0.8</v>
      </c>
    </row>
    <row r="23" ht="20.25" spans="1:4">
      <c r="A23" s="2" t="s">
        <v>96</v>
      </c>
      <c r="B23" s="4">
        <v>25.14</v>
      </c>
      <c r="C23" s="4">
        <v>43.88</v>
      </c>
      <c r="D23" s="7">
        <v>1.3</v>
      </c>
    </row>
    <row r="24" ht="20.25" spans="1:4">
      <c r="A24" s="2" t="s">
        <v>97</v>
      </c>
      <c r="B24" s="4">
        <v>37.7</v>
      </c>
      <c r="C24" s="4">
        <v>47.93</v>
      </c>
      <c r="D24" s="5"/>
    </row>
    <row r="25" ht="20.25" spans="1:4">
      <c r="A25" s="2" t="s">
        <v>98</v>
      </c>
      <c r="B25" s="4">
        <v>15.72</v>
      </c>
      <c r="C25" s="4">
        <v>60.72</v>
      </c>
      <c r="D25" s="7">
        <v>1.3</v>
      </c>
    </row>
    <row r="26" ht="20.25" spans="1:4">
      <c r="A26" s="2" t="s">
        <v>99</v>
      </c>
      <c r="B26" s="4">
        <v>15.72</v>
      </c>
      <c r="C26" s="4">
        <v>60.72</v>
      </c>
      <c r="D26" s="7">
        <v>1.3</v>
      </c>
    </row>
    <row r="27" ht="20.25" spans="1:4">
      <c r="A27" s="2" t="s">
        <v>100</v>
      </c>
      <c r="B27" s="4">
        <v>15.26</v>
      </c>
      <c r="C27" s="4">
        <v>20.81</v>
      </c>
      <c r="D27" s="5"/>
    </row>
    <row r="28" ht="20.25" spans="1:4">
      <c r="A28" s="2" t="s">
        <v>101</v>
      </c>
      <c r="B28" s="4">
        <v>15.26</v>
      </c>
      <c r="C28" s="4">
        <v>33.65</v>
      </c>
      <c r="D28" s="5"/>
    </row>
    <row r="29" ht="20.25" spans="1:4">
      <c r="A29" s="2" t="s">
        <v>102</v>
      </c>
      <c r="B29" s="4">
        <v>24.08</v>
      </c>
      <c r="C29" s="4">
        <v>33.8</v>
      </c>
      <c r="D29" s="5"/>
    </row>
    <row r="30" ht="20.25" spans="1:4">
      <c r="A30" s="2" t="s">
        <v>103</v>
      </c>
      <c r="B30" s="4">
        <v>14.12</v>
      </c>
      <c r="C30" s="4">
        <v>14.21</v>
      </c>
      <c r="D30" s="5"/>
    </row>
    <row r="31" ht="20.25" spans="1:4">
      <c r="A31" s="2" t="s">
        <v>104</v>
      </c>
      <c r="B31" s="4">
        <v>23.53</v>
      </c>
      <c r="C31" s="4">
        <v>17.67</v>
      </c>
      <c r="D31" s="5"/>
    </row>
    <row r="32" ht="20.25" spans="1:4">
      <c r="A32" s="2" t="s">
        <v>105</v>
      </c>
      <c r="B32" s="4">
        <v>36.31</v>
      </c>
      <c r="C32" s="4">
        <v>19.47</v>
      </c>
      <c r="D32" s="5"/>
    </row>
    <row r="33" ht="20.25" spans="1:4">
      <c r="A33" s="2" t="s">
        <v>106</v>
      </c>
      <c r="B33" s="4">
        <v>14.12</v>
      </c>
      <c r="C33" s="4">
        <v>33.77</v>
      </c>
      <c r="D33" s="5"/>
    </row>
    <row r="34" ht="20.25" spans="1:4">
      <c r="A34" s="2" t="s">
        <v>107</v>
      </c>
      <c r="B34" s="4">
        <v>23.53</v>
      </c>
      <c r="C34" s="4">
        <v>40.23</v>
      </c>
      <c r="D34" s="5"/>
    </row>
    <row r="35" ht="20.25" spans="1:4">
      <c r="A35" s="2" t="s">
        <v>108</v>
      </c>
      <c r="B35" s="4">
        <v>36.34</v>
      </c>
      <c r="C35" s="4">
        <v>45.23</v>
      </c>
      <c r="D35" s="5"/>
    </row>
    <row r="36" ht="20.25" spans="1:4">
      <c r="A36" s="2" t="s">
        <v>109</v>
      </c>
      <c r="B36" s="4">
        <v>14.33</v>
      </c>
      <c r="C36" s="4">
        <v>50.1</v>
      </c>
      <c r="D36" s="5"/>
    </row>
    <row r="37" ht="20.25" spans="1:4">
      <c r="A37" s="2" t="s">
        <v>110</v>
      </c>
      <c r="B37" s="4">
        <v>23.89</v>
      </c>
      <c r="C37" s="4">
        <v>59.73</v>
      </c>
      <c r="D37" s="5"/>
    </row>
    <row r="38" ht="20.25" spans="1:4">
      <c r="A38" s="2" t="s">
        <v>111</v>
      </c>
      <c r="B38" s="4">
        <v>36.89</v>
      </c>
      <c r="C38" s="4">
        <v>67.83</v>
      </c>
      <c r="D38" s="5"/>
    </row>
    <row r="39" ht="20.25" spans="1:4">
      <c r="A39" s="2" t="s">
        <v>112</v>
      </c>
      <c r="B39" s="4">
        <v>21.49</v>
      </c>
      <c r="C39" s="4">
        <v>53.41</v>
      </c>
      <c r="D39" s="5"/>
    </row>
    <row r="40" ht="20.25" spans="1:4">
      <c r="A40" s="2" t="s">
        <v>113</v>
      </c>
      <c r="B40" s="4">
        <v>35.84</v>
      </c>
      <c r="C40" s="4">
        <v>64.33</v>
      </c>
      <c r="D40" s="5"/>
    </row>
    <row r="41" ht="20.25" spans="1:4">
      <c r="A41" s="2" t="s">
        <v>114</v>
      </c>
      <c r="B41" s="4">
        <v>55.32</v>
      </c>
      <c r="C41" s="4">
        <v>73.58</v>
      </c>
      <c r="D41" s="5"/>
    </row>
    <row r="42" ht="20.25" spans="1:4">
      <c r="A42" s="2" t="s">
        <v>115</v>
      </c>
      <c r="B42" s="4">
        <v>14.48</v>
      </c>
      <c r="C42" s="4">
        <v>53.84</v>
      </c>
      <c r="D42" s="5"/>
    </row>
    <row r="43" ht="20.25" spans="1:4">
      <c r="A43" s="2" t="s">
        <v>116</v>
      </c>
      <c r="B43" s="4">
        <v>19.09</v>
      </c>
      <c r="C43" s="4">
        <v>61.18</v>
      </c>
      <c r="D43" s="5"/>
    </row>
    <row r="44" ht="20.25" spans="1:4">
      <c r="A44" s="2" t="s">
        <v>117</v>
      </c>
      <c r="B44" s="4">
        <v>27.98</v>
      </c>
      <c r="C44" s="4">
        <v>95.93</v>
      </c>
      <c r="D44" s="5"/>
    </row>
    <row r="45" ht="20.25" spans="1:4">
      <c r="A45" s="2" t="s">
        <v>118</v>
      </c>
      <c r="B45" s="4">
        <v>45.71</v>
      </c>
      <c r="C45" s="4">
        <v>126.7</v>
      </c>
      <c r="D45" s="5"/>
    </row>
    <row r="46" ht="20.25" spans="1:4">
      <c r="A46" s="2" t="s">
        <v>47</v>
      </c>
      <c r="B46" s="4">
        <v>21.5</v>
      </c>
      <c r="C46" s="4">
        <v>60.93</v>
      </c>
      <c r="D46" s="5"/>
    </row>
    <row r="47" ht="20.25" spans="1:4">
      <c r="A47" s="2" t="s">
        <v>119</v>
      </c>
      <c r="B47" s="4">
        <v>28.27</v>
      </c>
      <c r="C47" s="4">
        <v>67.41</v>
      </c>
      <c r="D47" s="5"/>
    </row>
    <row r="48" ht="20.25" spans="1:4">
      <c r="A48" s="2" t="s">
        <v>120</v>
      </c>
      <c r="B48" s="4">
        <v>41.96</v>
      </c>
      <c r="C48" s="4">
        <v>102.31</v>
      </c>
      <c r="D48" s="5"/>
    </row>
    <row r="49" ht="20.25" spans="1:4">
      <c r="A49" s="2" t="s">
        <v>121</v>
      </c>
      <c r="B49" s="4">
        <v>68.56</v>
      </c>
      <c r="C49" s="4">
        <v>141.5</v>
      </c>
      <c r="D49" s="5"/>
    </row>
    <row r="50" ht="20.25" spans="1:4">
      <c r="A50" s="2" t="s">
        <v>49</v>
      </c>
      <c r="B50" s="4">
        <v>23.06</v>
      </c>
      <c r="C50" s="4">
        <v>41.91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美林最新报价格式260427</vt:lpstr>
      <vt:lpstr>电线规格用量数据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zhu_j</dc:creator>
  <cp:lastModifiedBy>朱建云</cp:lastModifiedBy>
  <dcterms:created xsi:type="dcterms:W3CDTF">2026-05-05T07:17:00Z</dcterms:created>
  <dcterms:modified xsi:type="dcterms:W3CDTF">2026-05-05T14:55:37Z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E27382C93BD9463A986C9102A5A1A1D9_11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